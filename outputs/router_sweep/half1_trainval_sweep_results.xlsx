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187da06bc4b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0187486e8b4921"/>
    <x:sheet xmlns:r="http://schemas.openxmlformats.org/officeDocument/2006/relationships" name="Bucket Breakdown" sheetId="2" r:id="Re97e9fc08d8e4061"/>
    <x:sheet xmlns:r="http://schemas.openxmlformats.org/officeDocument/2006/relationships" name="GEPA Internal" sheetId="3" r:id="Ra90b7b8d68d64482"/>
    <x:sheet xmlns:r="http://schemas.openxmlformats.org/officeDocument/2006/relationships" name="Notes" sheetId="4" r:id="R0f712111e39847d8"/>
    <x:sheet xmlns:r="http://schemas.openxmlformats.org/officeDocument/2006/relationships" name="Chart Data" sheetId="5" r:id="Ra3073ae2be8942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$0.0000"/>
    <x:numFmt numFmtId="202" formatCode="$0.000"/>
    <x:numFmt numFmtId="203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666666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2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203" fontId="2" fillId="4" borderId="0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2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b8e4d2313844dc" /><Relationship Type="http://schemas.openxmlformats.org/officeDocument/2006/relationships/theme" Target="/xl/theme/theme1.xml" Id="Raf333210db3048f3" /><Relationship Type="http://schemas.openxmlformats.org/officeDocument/2006/relationships/sharedStrings" Target="/xl/sharedStrings.xml" Id="R070d5bc748ea457d" /><Relationship Type="http://schemas.openxmlformats.org/officeDocument/2006/relationships/worksheet" Target="/xl/worksheets/sheet1.xml" Id="R8e0187486e8b4921" /><Relationship Type="http://schemas.openxmlformats.org/officeDocument/2006/relationships/worksheet" Target="/xl/worksheets/sheet2.xml" Id="Re97e9fc08d8e4061" /><Relationship Type="http://schemas.openxmlformats.org/officeDocument/2006/relationships/worksheet" Target="/xl/worksheets/sheet3.xml" Id="Ra90b7b8d68d64482" /><Relationship Type="http://schemas.openxmlformats.org/officeDocument/2006/relationships/worksheet" Target="/xl/worksheets/sheet4.xml" Id="R0f712111e39847d8" /><Relationship Type="http://schemas.openxmlformats.org/officeDocument/2006/relationships/worksheet" Target="/xl/worksheets/sheet5.xml" Id="Ra3073ae2be8942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46c050829248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Router Accuracy and Cost Savings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Router Accuracy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Data'!$A$2:$A$5</c:f>
              <c:strCache>
                <c:ptCount val="0"/>
              </c:strCache>
            </c:strRef>
          </c:cat>
          <c:val>
            <c:numRef>
              <c:f>'Chart Data'!$B$2:$B$5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Cost Savings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Data'!$A$2:$A$5</c:f>
              <c:strCache>
                <c:ptCount val="0"/>
              </c:strCache>
            </c:strRef>
          </c:cat>
          <c:val>
            <c:numRef>
              <c:f>'Chart Data'!$C$2:$C$5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46c0508292486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Table" displayName="SummaryTable" ref="A1:U5" headerRowCount="1">
  <x:tableColumns count="21">
    <x:tableColumn id="1" name="Train+Val"/>
    <x:tableColumn id="2" name="Test Questions"/>
    <x:tableColumn id="3" name="Router Accuracy"/>
    <x:tableColumn id="4" name="Correct"/>
    <x:tableColumn id="5" name="All Mini Accuracy"/>
    <x:tableColumn id="6" name="All Nano Accuracy"/>
    <x:tableColumn id="7" name="Oracle Accuracy"/>
    <x:tableColumn id="8" name="Accuracy Delta vs All Mini"/>
    <x:tableColumn id="9" name="Mini Routes"/>
    <x:tableColumn id="10" name="Nano Routes"/>
    <x:tableColumn id="11" name="Cost USD"/>
    <x:tableColumn id="12" name="Cost / 1K Questions"/>
    <x:tableColumn id="13" name="Cost Savings vs All Mini"/>
    <x:tableColumn id="14" name="Critical Routed Mini"/>
    <x:tableColumn id="15" name="Critical Total"/>
    <x:tableColumn id="16" name="Critical Mini Rate"/>
    <x:tableColumn id="17" name="Both Wrong Routed Mini"/>
    <x:tableColumn id="18" name="Both Wrong Total"/>
    <x:tableColumn id="19" name="Both Wrong Mini Rate"/>
    <x:tableColumn id="20" name="Easy Router Direct"/>
    <x:tableColumn id="21" name="Easy Router Defer"/>
  </x:tableColumns>
  <x:tableStyleInfo name="TableStyleMedium2" showRowStripes="1"/>
</x:table>
</file>

<file path=xl/tables/table2.xml><?xml version="1.0" encoding="utf-8"?>
<x:table xmlns:x="http://schemas.openxmlformats.org/spreadsheetml/2006/main" id="2" name="BucketTable" displayName="BucketTable" ref="A1:H17" headerRowCount="1">
  <x:tableColumns count="8">
    <x:tableColumn id="1" name="Train+Val"/>
    <x:tableColumn id="2" name="Bucket"/>
    <x:tableColumn id="3" name="Total"/>
    <x:tableColumn id="4" name="Mini Routes"/>
    <x:tableColumn id="5" name="Nano Routes"/>
    <x:tableColumn id="6" name="Router Correct"/>
    <x:tableColumn id="7" name="Mini Route Rate"/>
    <x:tableColumn id="8" name="Router Accuracy in Bucket"/>
  </x:tableColumns>
  <x:tableStyleInfo name="TableStyleMedium2" showRowStripes="1"/>
</x:table>
</file>

<file path=xl/tables/table3.xml><?xml version="1.0" encoding="utf-8"?>
<x:table xmlns:x="http://schemas.openxmlformats.org/spreadsheetml/2006/main" id="3" name="GepaInternalTable" displayName="GepaInternalTable" ref="A1:N5" headerRowCount="1">
  <x:tableColumns count="14">
    <x:tableColumn id="1" name="Train+Val"/>
    <x:tableColumn id="2" name="Selected Candidate"/>
    <x:tableColumn id="3" name="GEPA Default Best"/>
    <x:tableColumn id="4" name="Candidates"/>
    <x:tableColumn id="5" name="Initial Mean Score"/>
    <x:tableColumn id="6" name="Initial Accuracy"/>
    <x:tableColumn id="7" name="Initial Mini Routes"/>
    <x:tableColumn id="8" name="Initial Nano Routes"/>
    <x:tableColumn id="9" name="Initial Critical Misroutes"/>
    <x:tableColumn id="10" name="Best Mean Score"/>
    <x:tableColumn id="11" name="Best Accuracy"/>
    <x:tableColumn id="12" name="Best Mini Routes"/>
    <x:tableColumn id="13" name="Best Nano Routes"/>
    <x:tableColumn id="14" name="Best Critical Misroutes"/>
  </x:tableColumns>
  <x:tableStyleInfo name="TableStyleMedium2" showRowStripes="1"/>
</x:table>
</file>

<file path=xl/tables/table4.xml><?xml version="1.0" encoding="utf-8"?>
<x:table xmlns:x="http://schemas.openxmlformats.org/spreadsheetml/2006/main" id="4" name="NotesTable" displayName="NotesTable" ref="A1:B8" headerRowCount="1">
  <x:tableColumns count="2">
    <x:tableColumn id="1" name="Item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fe445a764a4b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46a6dcfb9e4b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11b0996a5c4a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c5571e9f75c48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7880747aa16a43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13.130000114440918" hidden="0" customWidth="1"/>
    <x:col min="3" max="3" width="14.25" hidden="0" customWidth="1"/>
    <x:col min="4" max="4" width="8.130000114440918" hidden="0" customWidth="1"/>
    <x:col min="5" max="5" width="15" hidden="0" customWidth="1"/>
    <x:col min="6" max="6" width="15.5" hidden="0" customWidth="1"/>
    <x:col min="7" max="7" width="14" hidden="0" customWidth="1"/>
    <x:col min="8" max="8" width="20.8799991607666" hidden="0" customWidth="1"/>
    <x:col min="9" max="9" width="11.380000114440918" hidden="0" customWidth="1"/>
    <x:col min="10" max="10" width="11.880000114440918" hidden="0" customWidth="1"/>
    <x:col min="11" max="11" width="9.380000114440918" hidden="0" customWidth="1"/>
    <x:col min="12" max="12" width="16.6299991607666" hidden="0" customWidth="1"/>
    <x:col min="13" max="13" width="19.1299991607666" hidden="0" customWidth="1"/>
    <x:col min="14" max="14" width="16.75" hidden="0" customWidth="1"/>
    <x:col min="15" max="15" width="11.630000114440918" hidden="0" customWidth="1"/>
    <x:col min="16" max="16" width="14.880000114440918" hidden="0" customWidth="1"/>
    <x:col min="17" max="17" width="20.25" hidden="0" customWidth="1"/>
    <x:col min="18" max="18" width="15.130000114440918" hidden="0" customWidth="1"/>
    <x:col min="19" max="19" width="18.3799991607666" hidden="0" customWidth="1"/>
    <x:col min="20" max="20" width="15.75" hidden="0" customWidth="1"/>
    <x:col min="21" max="21" width="15.380000114440918" hidden="0" customWidth="1"/>
  </x:cols>
  <x:sheetData>
    <x:row r="1" ht="33" customHeight="1">
      <x:c r="A1" s="4" t="str">
        <x:v>Train+Val</x:v>
      </x:c>
      <x:c r="B1" s="4" t="str">
        <x:v>Test Questions</x:v>
      </x:c>
      <x:c r="C1" s="5" t="str">
        <x:v>Router Accuracy</x:v>
      </x:c>
      <x:c r="D1" s="4" t="str">
        <x:v>Correct</x:v>
      </x:c>
      <x:c r="E1" s="5" t="str">
        <x:v>All Mini Accuracy</x:v>
      </x:c>
      <x:c r="F1" s="5" t="str">
        <x:v>All Nano Accuracy</x:v>
      </x:c>
      <x:c r="G1" s="5" t="str">
        <x:v>Oracle Accuracy</x:v>
      </x:c>
      <x:c r="H1" s="5" t="str">
        <x:v>Accuracy Delta vs All Mini</x:v>
      </x:c>
      <x:c r="I1" s="4" t="str">
        <x:v>Mini Routes</x:v>
      </x:c>
      <x:c r="J1" s="4" t="str">
        <x:v>Nano Routes</x:v>
      </x:c>
      <x:c r="K1" s="6" t="str">
        <x:v>Cost USD</x:v>
      </x:c>
      <x:c r="L1" s="7" t="str">
        <x:v>Cost / 1K Questions</x:v>
      </x:c>
      <x:c r="M1" s="5" t="str">
        <x:v>Cost Savings vs All Mini</x:v>
      </x:c>
      <x:c r="N1" s="4" t="str">
        <x:v>Critical Routed Mini</x:v>
      </x:c>
      <x:c r="O1" s="4" t="str">
        <x:v>Critical Total</x:v>
      </x:c>
      <x:c r="P1" s="5" t="str">
        <x:v>Critical Mini Rate</x:v>
      </x:c>
      <x:c r="Q1" s="4" t="str">
        <x:v>Both Wrong Routed Mini</x:v>
      </x:c>
      <x:c r="R1" s="4" t="str">
        <x:v>Both Wrong Total</x:v>
      </x:c>
      <x:c r="S1" s="5" t="str">
        <x:v>Both Wrong Mini Rate</x:v>
      </x:c>
      <x:c r="T1" s="4" t="str">
        <x:v>Easy Router Direct</x:v>
      </x:c>
      <x:c r="U1" s="4" t="str">
        <x:v>Easy Router Defer</x:v>
      </x:c>
    </x:row>
    <x:row r="2">
      <x:c r="A2" t="n">
        <x:v>50</x:v>
      </x:c>
      <x:c r="B2" t="n">
        <x:v>205</x:v>
      </x:c>
      <x:c r="C2" t="n">
        <x:v>0.8</x:v>
      </x:c>
      <x:c r="D2" t="n">
        <x:v>164</x:v>
      </x:c>
      <x:c r="E2" t="n">
        <x:v>0.8048780487804879</x:v>
      </x:c>
      <x:c r="F2" t="n">
        <x:v>0.7121951219512195</x:v>
      </x:c>
      <x:c r="G2" t="n">
        <x:v>0.8390243902439024</x:v>
      </x:c>
      <x:c r="H2" t="n">
        <x:v>-0.004878048780487809</x:v>
      </x:c>
      <x:c r="I2" t="n">
        <x:v>160</x:v>
      </x:c>
      <x:c r="J2" t="n">
        <x:v>45</x:v>
      </x:c>
      <x:c r="K2" t="n">
        <x:v>0.20145990000000005</x:v>
      </x:c>
      <x:c r="L2" t="n">
        <x:v>0.9827312195121954</x:v>
      </x:c>
      <x:c r="M2" t="n">
        <x:v>0.12591157584172163</x:v>
      </x:c>
      <x:c r="N2" t="n">
        <x:v>24</x:v>
      </x:c>
      <x:c r="O2" t="n">
        <x:v>26</x:v>
      </x:c>
      <x:c r="P2" t="n">
        <x:v>0.9230769230769231</x:v>
      </x:c>
      <x:c r="Q2" t="n">
        <x:v>27</x:v>
      </x:c>
      <x:c r="R2" t="n">
        <x:v>33</x:v>
      </x:c>
      <x:c r="S2" t="n">
        <x:v>0.8181818181818182</x:v>
      </x:c>
      <x:c r="T2" t="n">
        <x:v>19</x:v>
      </x:c>
      <x:c r="U2" t="n">
        <x:v>186</x:v>
      </x:c>
    </x:row>
    <x:row r="3">
      <x:c r="A3" t="n">
        <x:v>100</x:v>
      </x:c>
      <x:c r="B3" t="n">
        <x:v>205</x:v>
      </x:c>
      <x:c r="C3" t="n">
        <x:v>0.7609756097560976</x:v>
      </x:c>
      <x:c r="D3" t="n">
        <x:v>156</x:v>
      </x:c>
      <x:c r="E3" t="n">
        <x:v>0.8048780487804879</x:v>
      </x:c>
      <x:c r="F3" t="n">
        <x:v>0.7121951219512195</x:v>
      </x:c>
      <x:c r="G3" t="n">
        <x:v>0.8390243902439024</x:v>
      </x:c>
      <x:c r="H3" t="n">
        <x:v>-0.04390243902439028</x:v>
      </x:c>
      <x:c r="I3" t="n">
        <x:v>59</x:v>
      </x:c>
      <x:c r="J3" t="n">
        <x:v>146</x:v>
      </x:c>
      <x:c r="K3" t="n">
        <x:v>0.130395</x:v>
      </x:c>
      <x:c r="L3" t="n">
        <x:v>0.6360731707317073</x:v>
      </x:c>
      <x:c r="M3" t="n">
        <x:v>0.43424592155501573</x:v>
      </x:c>
      <x:c r="N3" t="n">
        <x:v>13</x:v>
      </x:c>
      <x:c r="O3" t="n">
        <x:v>26</x:v>
      </x:c>
      <x:c r="P3" t="n">
        <x:v>0.5</x:v>
      </x:c>
      <x:c r="Q3" t="n">
        <x:v>13</x:v>
      </x:c>
      <x:c r="R3" t="n">
        <x:v>33</x:v>
      </x:c>
      <x:c r="S3" t="n">
        <x:v>0.3939393939393939</x:v>
      </x:c>
      <x:c r="T3" t="n">
        <x:v>19</x:v>
      </x:c>
      <x:c r="U3" t="n">
        <x:v>186</x:v>
      </x:c>
    </x:row>
    <x:row r="4">
      <x:c r="A4" t="n">
        <x:v>150</x:v>
      </x:c>
      <x:c r="B4" t="n">
        <x:v>205</x:v>
      </x:c>
      <x:c r="C4" t="n">
        <x:v>0.7219512195121951</x:v>
      </x:c>
      <x:c r="D4" t="n">
        <x:v>148</x:v>
      </x:c>
      <x:c r="E4" t="n">
        <x:v>0.8048780487804879</x:v>
      </x:c>
      <x:c r="F4" t="n">
        <x:v>0.7121951219512195</x:v>
      </x:c>
      <x:c r="G4" t="n">
        <x:v>0.8390243902439024</x:v>
      </x:c>
      <x:c r="H4" t="n">
        <x:v>-0.08292682926829276</x:v>
      </x:c>
      <x:c r="I4" t="n">
        <x:v>12</x:v>
      </x:c>
      <x:c r="J4" t="n">
        <x:v>193</x:v>
      </x:c>
      <x:c r="K4" t="n">
        <x:v>0.08698880000000003</x:v>
      </x:c>
      <x:c r="L4" t="n">
        <x:v>0.4243356097560977</x:v>
      </x:c>
      <x:c r="M4" t="n">
        <x:v>0.6225754946199236</x:v>
      </x:c>
      <x:c r="N4" t="n">
        <x:v>2</x:v>
      </x:c>
      <x:c r="O4" t="n">
        <x:v>26</x:v>
      </x:c>
      <x:c r="P4" t="n">
        <x:v>0.07692307692307693</x:v>
      </x:c>
      <x:c r="Q4" t="n">
        <x:v>5</x:v>
      </x:c>
      <x:c r="R4" t="n">
        <x:v>33</x:v>
      </x:c>
      <x:c r="S4" t="n">
        <x:v>0.15151515151515152</x:v>
      </x:c>
      <x:c r="T4" t="n">
        <x:v>19</x:v>
      </x:c>
      <x:c r="U4" t="n">
        <x:v>186</x:v>
      </x:c>
    </x:row>
    <x:row r="5">
      <x:c r="A5" t="n">
        <x:v>200</x:v>
      </x:c>
      <x:c r="B5" t="n">
        <x:v>205</x:v>
      </x:c>
      <x:c r="C5" t="n">
        <x:v>0.7219512195121951</x:v>
      </x:c>
      <x:c r="D5" t="n">
        <x:v>148</x:v>
      </x:c>
      <x:c r="E5" t="n">
        <x:v>0.8048780487804879</x:v>
      </x:c>
      <x:c r="F5" t="n">
        <x:v>0.7121951219512195</x:v>
      </x:c>
      <x:c r="G5" t="n">
        <x:v>0.8390243902439024</x:v>
      </x:c>
      <x:c r="H5" t="n">
        <x:v>-0.08292682926829276</x:v>
      </x:c>
      <x:c r="I5" t="n">
        <x:v>12</x:v>
      </x:c>
      <x:c r="J5" t="n">
        <x:v>193</x:v>
      </x:c>
      <x:c r="K5" t="n">
        <x:v>0.08698880000000003</x:v>
      </x:c>
      <x:c r="L5" t="n">
        <x:v>0.4243356097560977</x:v>
      </x:c>
      <x:c r="M5" t="n">
        <x:v>0.6225754946199236</x:v>
      </x:c>
      <x:c r="N5" t="n">
        <x:v>2</x:v>
      </x:c>
      <x:c r="O5" t="n">
        <x:v>26</x:v>
      </x:c>
      <x:c r="P5" t="n">
        <x:v>0.07692307692307693</x:v>
      </x:c>
      <x:c r="Q5" t="n">
        <x:v>5</x:v>
      </x:c>
      <x:c r="R5" t="n">
        <x:v>33</x:v>
      </x:c>
      <x:c r="S5" t="n">
        <x:v>0.15151515151515152</x:v>
      </x:c>
      <x:c r="T5" t="n">
        <x:v>19</x:v>
      </x:c>
      <x:c r="U5" t="n">
        <x:v>186</x:v>
      </x:c>
    </x:row>
  </x:sheetData>
  <x:pageMargins left="0.7" right="0.7" top="0.75" bottom="0.75" header="0.3" footer="0.3"/>
  <x:tableParts count="1">
    <x:tablePart xmlns:r="http://schemas.openxmlformats.org/officeDocument/2006/relationships" r:id="R94fe445a764a4b0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13.75" hidden="0" customWidth="1"/>
    <x:col min="3" max="3" width="6.380000114440918" hidden="0" customWidth="1"/>
    <x:col min="4" max="4" width="11.380000114440918" hidden="0" customWidth="1"/>
    <x:col min="5" max="5" width="11.880000114440918" hidden="0" customWidth="1"/>
    <x:col min="6" max="6" width="13.130000114440918" hidden="0" customWidth="1"/>
    <x:col min="7" max="7" width="14.25" hidden="0" customWidth="1"/>
    <x:col min="8" max="8" width="21" hidden="0" customWidth="1"/>
  </x:cols>
  <x:sheetData>
    <x:row r="1">
      <x:c r="A1" s="11" t="str">
        <x:v>Train+Val</x:v>
      </x:c>
      <x:c r="B1" s="11" t="str">
        <x:v>Bucket</x:v>
      </x:c>
      <x:c r="C1" s="11" t="str">
        <x:v>Total</x:v>
      </x:c>
      <x:c r="D1" s="11" t="str">
        <x:v>Mini Routes</x:v>
      </x:c>
      <x:c r="E1" s="11" t="str">
        <x:v>Nano Routes</x:v>
      </x:c>
      <x:c r="F1" s="11" t="str">
        <x:v>Router Correct</x:v>
      </x:c>
      <x:c r="G1" s="12" t="str">
        <x:v>Mini Route Rate</x:v>
      </x:c>
      <x:c r="H1" s="12" t="str">
        <x:v>Router Accuracy in Bucket</x:v>
      </x:c>
    </x:row>
    <x:row r="2">
      <x:c r="A2" t="n">
        <x:v>50</x:v>
      </x:c>
      <x:c r="B2" t="str">
        <x:v>both_correct</x:v>
      </x:c>
      <x:c r="C2" t="n">
        <x:v>139</x:v>
      </x:c>
      <x:c r="D2" t="n">
        <x:v>103</x:v>
      </x:c>
      <x:c r="E2" t="n">
        <x:v>36</x:v>
      </x:c>
      <x:c r="F2" t="n">
        <x:v>139</x:v>
      </x:c>
      <x:c r="G2" t="n">
        <x:v>0.7410071942446043</x:v>
      </x:c>
      <x:c r="H2" t="n">
        <x:v>1</x:v>
      </x:c>
    </x:row>
    <x:row r="3">
      <x:c r="A3" t="n">
        <x:v>50</x:v>
      </x:c>
      <x:c r="B3" t="str">
        <x:v>critical_mini_only</x:v>
      </x:c>
      <x:c r="C3" t="n">
        <x:v>26</x:v>
      </x:c>
      <x:c r="D3" t="n">
        <x:v>24</x:v>
      </x:c>
      <x:c r="E3" t="n">
        <x:v>2</x:v>
      </x:c>
      <x:c r="F3" t="n">
        <x:v>24</x:v>
      </x:c>
      <x:c r="G3" t="n">
        <x:v>0.9230769230769231</x:v>
      </x:c>
      <x:c r="H3" t="n">
        <x:v>0.9230769230769231</x:v>
      </x:c>
    </x:row>
    <x:row r="4">
      <x:c r="A4" t="n">
        <x:v>50</x:v>
      </x:c>
      <x:c r="B4" t="str">
        <x:v>nano_only</x:v>
      </x:c>
      <x:c r="C4" t="n">
        <x:v>7</x:v>
      </x:c>
      <x:c r="D4" t="n">
        <x:v>6</x:v>
      </x:c>
      <x:c r="E4" t="n">
        <x:v>1</x:v>
      </x:c>
      <x:c r="F4" t="n">
        <x:v>1</x:v>
      </x:c>
      <x:c r="G4" t="n">
        <x:v>0.8571428571428571</x:v>
      </x:c>
      <x:c r="H4" t="n">
        <x:v>0.14285714285714285</x:v>
      </x:c>
    </x:row>
    <x:row r="5">
      <x:c r="A5" t="n">
        <x:v>50</x:v>
      </x:c>
      <x:c r="B5" t="str">
        <x:v>both_wrong</x:v>
      </x:c>
      <x:c r="C5" t="n">
        <x:v>33</x:v>
      </x:c>
      <x:c r="D5" t="n">
        <x:v>27</x:v>
      </x:c>
      <x:c r="E5" t="n">
        <x:v>6</x:v>
      </x:c>
      <x:c r="F5" t="n">
        <x:v>0</x:v>
      </x:c>
      <x:c r="G5" t="n">
        <x:v>0.8181818181818182</x:v>
      </x:c>
      <x:c r="H5" t="n">
        <x:v>0</x:v>
      </x:c>
    </x:row>
    <x:row r="6">
      <x:c r="A6" t="n">
        <x:v>100</x:v>
      </x:c>
      <x:c r="B6" t="str">
        <x:v>both_correct</x:v>
      </x:c>
      <x:c r="C6" t="n">
        <x:v>139</x:v>
      </x:c>
      <x:c r="D6" t="n">
        <x:v>30</x:v>
      </x:c>
      <x:c r="E6" t="n">
        <x:v>109</x:v>
      </x:c>
      <x:c r="F6" t="n">
        <x:v>139</x:v>
      </x:c>
      <x:c r="G6" t="n">
        <x:v>0.2158273381294964</x:v>
      </x:c>
      <x:c r="H6" t="n">
        <x:v>1</x:v>
      </x:c>
    </x:row>
    <x:row r="7">
      <x:c r="A7" t="n">
        <x:v>100</x:v>
      </x:c>
      <x:c r="B7" t="str">
        <x:v>critical_mini_only</x:v>
      </x:c>
      <x:c r="C7" t="n">
        <x:v>26</x:v>
      </x:c>
      <x:c r="D7" t="n">
        <x:v>13</x:v>
      </x:c>
      <x:c r="E7" t="n">
        <x:v>13</x:v>
      </x:c>
      <x:c r="F7" t="n">
        <x:v>13</x:v>
      </x:c>
      <x:c r="G7" t="n">
        <x:v>0.5</x:v>
      </x:c>
      <x:c r="H7" t="n">
        <x:v>0.5</x:v>
      </x:c>
    </x:row>
    <x:row r="8">
      <x:c r="A8" t="n">
        <x:v>100</x:v>
      </x:c>
      <x:c r="B8" t="str">
        <x:v>nano_only</x:v>
      </x:c>
      <x:c r="C8" t="n">
        <x:v>7</x:v>
      </x:c>
      <x:c r="D8" t="n">
        <x:v>3</x:v>
      </x:c>
      <x:c r="E8" t="n">
        <x:v>4</x:v>
      </x:c>
      <x:c r="F8" t="n">
        <x:v>4</x:v>
      </x:c>
      <x:c r="G8" t="n">
        <x:v>0.42857142857142855</x:v>
      </x:c>
      <x:c r="H8" t="n">
        <x:v>0.5714285714285714</x:v>
      </x:c>
    </x:row>
    <x:row r="9">
      <x:c r="A9" t="n">
        <x:v>100</x:v>
      </x:c>
      <x:c r="B9" t="str">
        <x:v>both_wrong</x:v>
      </x:c>
      <x:c r="C9" t="n">
        <x:v>33</x:v>
      </x:c>
      <x:c r="D9" t="n">
        <x:v>13</x:v>
      </x:c>
      <x:c r="E9" t="n">
        <x:v>20</x:v>
      </x:c>
      <x:c r="F9" t="n">
        <x:v>0</x:v>
      </x:c>
      <x:c r="G9" t="n">
        <x:v>0.3939393939393939</x:v>
      </x:c>
      <x:c r="H9" t="n">
        <x:v>0</x:v>
      </x:c>
    </x:row>
    <x:row r="10">
      <x:c r="A10" t="n">
        <x:v>150</x:v>
      </x:c>
      <x:c r="B10" t="str">
        <x:v>both_correct</x:v>
      </x:c>
      <x:c r="C10" t="n">
        <x:v>139</x:v>
      </x:c>
      <x:c r="D10" t="n">
        <x:v>5</x:v>
      </x:c>
      <x:c r="E10" t="n">
        <x:v>134</x:v>
      </x:c>
      <x:c r="F10" t="n">
        <x:v>139</x:v>
      </x:c>
      <x:c r="G10" t="n">
        <x:v>0.03597122302158273</x:v>
      </x:c>
      <x:c r="H10" t="n">
        <x:v>1</x:v>
      </x:c>
    </x:row>
    <x:row r="11">
      <x:c r="A11" t="n">
        <x:v>150</x:v>
      </x:c>
      <x:c r="B11" t="str">
        <x:v>critical_mini_only</x:v>
      </x:c>
      <x:c r="C11" t="n">
        <x:v>26</x:v>
      </x:c>
      <x:c r="D11" t="n">
        <x:v>2</x:v>
      </x:c>
      <x:c r="E11" t="n">
        <x:v>24</x:v>
      </x:c>
      <x:c r="F11" t="n">
        <x:v>2</x:v>
      </x:c>
      <x:c r="G11" t="n">
        <x:v>0.07692307692307693</x:v>
      </x:c>
      <x:c r="H11" t="n">
        <x:v>0.07692307692307693</x:v>
      </x:c>
    </x:row>
    <x:row r="12">
      <x:c r="A12" t="n">
        <x:v>150</x:v>
      </x:c>
      <x:c r="B12" t="str">
        <x:v>nano_only</x:v>
      </x:c>
      <x:c r="C12" t="n">
        <x:v>7</x:v>
      </x:c>
      <x:c r="D12" t="n">
        <x:v>0</x:v>
      </x:c>
      <x:c r="E12" t="n">
        <x:v>7</x:v>
      </x:c>
      <x:c r="F12" t="n">
        <x:v>7</x:v>
      </x:c>
      <x:c r="G12" t="n">
        <x:v>0</x:v>
      </x:c>
      <x:c r="H12" t="n">
        <x:v>1</x:v>
      </x:c>
    </x:row>
    <x:row r="13">
      <x:c r="A13" t="n">
        <x:v>150</x:v>
      </x:c>
      <x:c r="B13" t="str">
        <x:v>both_wrong</x:v>
      </x:c>
      <x:c r="C13" t="n">
        <x:v>33</x:v>
      </x:c>
      <x:c r="D13" t="n">
        <x:v>5</x:v>
      </x:c>
      <x:c r="E13" t="n">
        <x:v>28</x:v>
      </x:c>
      <x:c r="F13" t="n">
        <x:v>0</x:v>
      </x:c>
      <x:c r="G13" t="n">
        <x:v>0.15151515151515152</x:v>
      </x:c>
      <x:c r="H13" t="n">
        <x:v>0</x:v>
      </x:c>
    </x:row>
    <x:row r="14">
      <x:c r="A14" t="n">
        <x:v>200</x:v>
      </x:c>
      <x:c r="B14" t="str">
        <x:v>both_correct</x:v>
      </x:c>
      <x:c r="C14" t="n">
        <x:v>139</x:v>
      </x:c>
      <x:c r="D14" t="n">
        <x:v>5</x:v>
      </x:c>
      <x:c r="E14" t="n">
        <x:v>134</x:v>
      </x:c>
      <x:c r="F14" t="n">
        <x:v>139</x:v>
      </x:c>
      <x:c r="G14" t="n">
        <x:v>0.03597122302158273</x:v>
      </x:c>
      <x:c r="H14" t="n">
        <x:v>1</x:v>
      </x:c>
    </x:row>
    <x:row r="15">
      <x:c r="A15" t="n">
        <x:v>200</x:v>
      </x:c>
      <x:c r="B15" t="str">
        <x:v>critical_mini_only</x:v>
      </x:c>
      <x:c r="C15" t="n">
        <x:v>26</x:v>
      </x:c>
      <x:c r="D15" t="n">
        <x:v>2</x:v>
      </x:c>
      <x:c r="E15" t="n">
        <x:v>24</x:v>
      </x:c>
      <x:c r="F15" t="n">
        <x:v>2</x:v>
      </x:c>
      <x:c r="G15" t="n">
        <x:v>0.07692307692307693</x:v>
      </x:c>
      <x:c r="H15" t="n">
        <x:v>0.07692307692307693</x:v>
      </x:c>
    </x:row>
    <x:row r="16">
      <x:c r="A16" t="n">
        <x:v>200</x:v>
      </x:c>
      <x:c r="B16" t="str">
        <x:v>nano_only</x:v>
      </x:c>
      <x:c r="C16" t="n">
        <x:v>7</x:v>
      </x:c>
      <x:c r="D16" t="n">
        <x:v>0</x:v>
      </x:c>
      <x:c r="E16" t="n">
        <x:v>7</x:v>
      </x:c>
      <x:c r="F16" t="n">
        <x:v>7</x:v>
      </x:c>
      <x:c r="G16" t="n">
        <x:v>0</x:v>
      </x:c>
      <x:c r="H16" t="n">
        <x:v>1</x:v>
      </x:c>
    </x:row>
    <x:row r="17">
      <x:c r="A17" t="n">
        <x:v>200</x:v>
      </x:c>
      <x:c r="B17" t="str">
        <x:v>both_wrong</x:v>
      </x:c>
      <x:c r="C17" t="n">
        <x:v>33</x:v>
      </x:c>
      <x:c r="D17" t="n">
        <x:v>5</x:v>
      </x:c>
      <x:c r="E17" t="n">
        <x:v>28</x:v>
      </x:c>
      <x:c r="F17" t="n">
        <x:v>0</x:v>
      </x:c>
      <x:c r="G17" t="n">
        <x:v>0.15151515151515152</x:v>
      </x:c>
      <x:c r="H1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46a6dcfb9e4b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16.25" hidden="0" customWidth="1"/>
    <x:col min="3" max="3" width="15.5" hidden="0" customWidth="1"/>
    <x:col min="4" max="4" width="10.75" hidden="0" customWidth="1"/>
    <x:col min="5" max="5" width="15.630000114440918" hidden="0" customWidth="1"/>
    <x:col min="6" max="6" width="13.5" hidden="0" customWidth="1"/>
    <x:col min="7" max="7" width="15.75" hidden="0" customWidth="1"/>
    <x:col min="8" max="8" width="16.25" hidden="0" customWidth="1"/>
    <x:col min="9" max="9" width="19.5" hidden="0" customWidth="1"/>
    <x:col min="10" max="10" width="14.630000114440918" hidden="0" customWidth="1"/>
    <x:col min="11" max="11" width="12.630000114440918" hidden="0" customWidth="1"/>
    <x:col min="12" max="12" width="14.75" hidden="0" customWidth="1"/>
    <x:col min="13" max="13" width="15.25" hidden="0" customWidth="1"/>
    <x:col min="14" max="14" width="18.5" hidden="0" customWidth="1"/>
  </x:cols>
  <x:sheetData>
    <x:row r="1">
      <x:c r="A1" s="16" t="str">
        <x:v>Train+Val</x:v>
      </x:c>
      <x:c r="B1" s="16" t="str">
        <x:v>Selected Candidate</x:v>
      </x:c>
      <x:c r="C1" s="16" t="str">
        <x:v>GEPA Default Best</x:v>
      </x:c>
      <x:c r="D1" s="16" t="str">
        <x:v>Candidates</x:v>
      </x:c>
      <x:c r="E1" s="17" t="str">
        <x:v>Initial Mean Score</x:v>
      </x:c>
      <x:c r="F1" s="18" t="str">
        <x:v>Initial Accuracy</x:v>
      </x:c>
      <x:c r="G1" s="16" t="str">
        <x:v>Initial Mini Routes</x:v>
      </x:c>
      <x:c r="H1" s="16" t="str">
        <x:v>Initial Nano Routes</x:v>
      </x:c>
      <x:c r="I1" s="16" t="str">
        <x:v>Initial Critical Misroutes</x:v>
      </x:c>
      <x:c r="J1" s="17" t="str">
        <x:v>Best Mean Score</x:v>
      </x:c>
      <x:c r="K1" s="18" t="str">
        <x:v>Best Accuracy</x:v>
      </x:c>
      <x:c r="L1" s="16" t="str">
        <x:v>Best Mini Routes</x:v>
      </x:c>
      <x:c r="M1" s="16" t="str">
        <x:v>Best Nano Routes</x:v>
      </x:c>
      <x:c r="N1" s="16" t="str">
        <x:v>Best Critical Misroutes</x:v>
      </x:c>
    </x:row>
    <x:row r="2">
      <x:c r="A2" t="n">
        <x:v>50</x:v>
      </x:c>
      <x:c r="B2" t="n">
        <x:v>3</x:v>
      </x:c>
      <x:c r="C2" t="n">
        <x:v>3</x:v>
      </x:c>
      <x:c r="D2" t="n">
        <x:v>4</x:v>
      </x:c>
      <x:c r="E2" t="n">
        <x:v>-0.426</x:v>
      </x:c>
      <x:c r="F2" t="n">
        <x:v>0.42</x:v>
      </x:c>
      <x:c r="G2" t="n">
        <x:v>1</x:v>
      </x:c>
      <x:c r="H2" t="n">
        <x:v>49</x:v>
      </x:c>
      <x:c r="I2" t="n">
        <x:v>19</x:v>
      </x:c>
      <x:c r="J2" t="n">
        <x:v>0.8059999999999999</x:v>
      </x:c>
      <x:c r="K2" t="n">
        <x:v>0.76</x:v>
      </x:c>
      <x:c r="L2" t="n">
        <x:v>38</x:v>
      </x:c>
      <x:c r="M2" t="n">
        <x:v>12</x:v>
      </x:c>
      <x:c r="N2" t="n">
        <x:v>1</x:v>
      </x:c>
    </x:row>
    <x:row r="3">
      <x:c r="A3" t="n">
        <x:v>100</x:v>
      </x:c>
      <x:c r="B3" t="n">
        <x:v>3</x:v>
      </x:c>
      <x:c r="C3" t="n">
        <x:v>3</x:v>
      </x:c>
      <x:c r="D3" t="n">
        <x:v>4</x:v>
      </x:c>
      <x:c r="E3" t="n">
        <x:v>0.158</x:v>
      </x:c>
      <x:c r="F3" t="n">
        <x:v>0.64</x:v>
      </x:c>
      <x:c r="G3" t="n">
        <x:v>4</x:v>
      </x:c>
      <x:c r="H3" t="n">
        <x:v>96</x:v>
      </x:c>
      <x:c r="I3" t="n">
        <x:v>19</x:v>
      </x:c>
      <x:c r="J3" t="n">
        <x:v>0.215</x:v>
      </x:c>
      <x:c r="K3" t="n">
        <x:v>0.68</x:v>
      </x:c>
      <x:c r="L3" t="n">
        <x:v>31</x:v>
      </x:c>
      <x:c r="M3" t="n">
        <x:v>69</x:v>
      </x:c>
      <x:c r="N3" t="n">
        <x:v>14</x:v>
      </x:c>
    </x:row>
    <x:row r="4">
      <x:c r="A4" t="n">
        <x:v>150</x:v>
      </x:c>
      <x:c r="B4" t="n">
        <x:v>0</x:v>
      </x:c>
      <x:c r="C4" t="n">
        <x:v>0</x:v>
      </x:c>
      <x:c r="D4" t="n">
        <x:v>3</x:v>
      </x:c>
      <x:c r="E4" t="n">
        <x:v>0.36333333333333334</x:v>
      </x:c>
      <x:c r="F4" t="n">
        <x:v>0.7133333333333334</x:v>
      </x:c>
      <x:c r="G4" t="n">
        <x:v>5</x:v>
      </x:c>
      <x:c r="H4" t="n">
        <x:v>145</x:v>
      </x:c>
      <x:c r="I4" t="n">
        <x:v>19</x:v>
      </x:c>
      <x:c r="J4" t="n">
        <x:v>0.36333333333333334</x:v>
      </x:c>
      <x:c r="K4" t="n">
        <x:v>0.7133333333333334</x:v>
      </x:c>
      <x:c r="L4" t="n">
        <x:v>5</x:v>
      </x:c>
      <x:c r="M4" t="n">
        <x:v>145</x:v>
      </x:c>
      <x:c r="N4" t="n">
        <x:v>19</x:v>
      </x:c>
    </x:row>
    <x:row r="5">
      <x:c r="A5" t="n">
        <x:v>200</x:v>
      </x:c>
      <x:c r="B5" t="n">
        <x:v>0</x:v>
      </x:c>
      <x:c r="C5" t="n">
        <x:v>0</x:v>
      </x:c>
      <x:c r="D5" t="n">
        <x:v>3</x:v>
      </x:c>
      <x:c r="E5" t="n">
        <x:v>0.47700000000000004</x:v>
      </x:c>
      <x:c r="F5" t="n">
        <x:v>0.755</x:v>
      </x:c>
      <x:c r="G5" t="n">
        <x:v>7</x:v>
      </x:c>
      <x:c r="H5" t="n">
        <x:v>193</x:v>
      </x:c>
      <x:c r="I5" t="n">
        <x:v>19</x:v>
      </x:c>
      <x:c r="J5" t="n">
        <x:v>0.47700000000000004</x:v>
      </x:c>
      <x:c r="K5" t="n">
        <x:v>0.755</x:v>
      </x:c>
      <x:c r="L5" t="n">
        <x:v>7</x:v>
      </x:c>
      <x:c r="M5" t="n">
        <x:v>193</x:v>
      </x:c>
      <x:c r="N5" t="n">
        <x:v>19</x:v>
      </x:c>
    </x:row>
  </x:sheetData>
  <x:pageMargins left="0.7" right="0.7" top="0.75" bottom="0.75" header="0.3" footer="0.3"/>
  <x:tableParts count="1">
    <x:tablePart xmlns:r="http://schemas.openxmlformats.org/officeDocument/2006/relationships" r:id="R5d11b0996a5c4a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80000114440918" hidden="0" customWidth="1"/>
    <x:col min="2" max="2" width="43.5" hidden="0" customWidth="1"/>
  </x:cols>
  <x:sheetData>
    <x:row r="1">
      <x:c r="A1" s="21" t="str">
        <x:v>Item</x:v>
      </x:c>
      <x:c r="B1" s="21" t="str">
        <x:v>Value</x:v>
      </x:c>
    </x:row>
    <x:row r="2">
      <x:c r="A2" t="str">
        <x:v>Experiment</x:v>
      </x:c>
      <x:c r="B2" t="str">
        <x:v>Half1 train/val sweep, half2 fixed test</x:v>
      </x:c>
    </x:row>
    <x:row r="3">
      <x:c r="A3" t="str">
        <x:v>Router</x:v>
      </x:c>
      <x:c r="B3" t="str">
        <x:v>Hybrid easy Python router + qwen3.5:latest</x:v>
      </x:c>
    </x:row>
    <x:row r="4">
      <x:c r="A4" t="str">
        <x:v>Reflection</x:v>
      </x:c>
      <x:c r="B4" t="str">
        <x:v>OpenAI gpt-4.1</x:v>
      </x:c>
    </x:row>
    <x:row r="5">
      <x:c r="A5" t="str">
        <x:v>Score mode</x:v>
      </x:c>
      <x:c r="B5" t="str">
        <x:v>risk_averse_utility</x:v>
      </x:c>
    </x:row>
    <x:row r="6">
      <x:c r="A6" t="str">
        <x:v>Output format</x:v>
      </x:c>
      <x:c r="B6" t="str">
        <x:v>token</x:v>
      </x:c>
    </x:row>
    <x:row r="7">
      <x:c r="A7" t="str">
        <x:v>Best test accuracy</x:v>
      </x:c>
      <x:c r="B7" t="str">
        <x:v>train+val=50, 80.00%</x:v>
      </x:c>
    </x:row>
    <x:row r="8">
      <x:c r="A8" t="str">
        <x:v>Best cost saving</x:v>
      </x:c>
      <x:c r="B8" t="str">
        <x:v>train+val=150/200, 62.26%, but accuracy drops to 72.20%</x:v>
      </x:c>
    </x:row>
  </x:sheetData>
  <x:pageMargins left="0.7" right="0.7" top="0.75" bottom="0.75" header="0.3" footer="0.3"/>
  <x:tableParts count="1">
    <x:tablePart xmlns:r="http://schemas.openxmlformats.org/officeDocument/2006/relationships" r:id="R6c5571e9f75c48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380000114440918" hidden="0" customWidth="1"/>
    <x:col min="2" max="2" width="12.630000114440918" hidden="0" customWidth="1"/>
    <x:col min="3" max="3" width="10.380000114440918" hidden="0" customWidth="1"/>
  </x:cols>
  <x:sheetData>
    <x:row r="1">
      <x:c r="A1" t="str">
        <x:v>Train+Val</x:v>
      </x:c>
      <x:c r="B1" t="str">
        <x:v>Router Accuracy</x:v>
      </x:c>
      <x:c r="C1" t="str">
        <x:v>Cost Savings</x:v>
      </x:c>
    </x:row>
    <x:row r="2">
      <x:c r="A2" t="n">
        <x:f>Summary!A2</x:f>
        <x:v>50</x:v>
      </x:c>
      <x:c r="B2" t="n">
        <x:f>Summary!C2</x:f>
        <x:v>0.8</x:v>
      </x:c>
      <x:c r="C2" t="n">
        <x:f>Summary!M2</x:f>
        <x:v>0.12591157584172163</x:v>
      </x:c>
    </x:row>
    <x:row r="3">
      <x:c r="A3" t="n">
        <x:f>Summary!A3</x:f>
        <x:v>100</x:v>
      </x:c>
      <x:c r="B3" t="n">
        <x:f>Summary!C3</x:f>
        <x:v>0.7609756097560976</x:v>
      </x:c>
      <x:c r="C3" t="n">
        <x:f>Summary!M3</x:f>
        <x:v>0.43424592155501573</x:v>
      </x:c>
    </x:row>
    <x:row r="4">
      <x:c r="A4" t="n">
        <x:f>Summary!A4</x:f>
        <x:v>150</x:v>
      </x:c>
      <x:c r="B4" t="n">
        <x:f>Summary!C4</x:f>
        <x:v>0.7219512195121951</x:v>
      </x:c>
      <x:c r="C4" t="n">
        <x:f>Summary!M4</x:f>
        <x:v>0.6225754946199236</x:v>
      </x:c>
    </x:row>
    <x:row r="5">
      <x:c r="A5" t="n">
        <x:f>Summary!A5</x:f>
        <x:v>200</x:v>
      </x:c>
      <x:c r="B5" t="n">
        <x:f>Summary!C5</x:f>
        <x:v>0.7219512195121951</x:v>
      </x:c>
      <x:c r="C5" t="n">
        <x:f>Summary!M5</x:f>
        <x:v>0.6225754946199236</x:v>
      </x:c>
    </x:row>
  </x:sheetData>
  <x:pageMargins left="0.7" right="0.7" top="0.75" bottom="0.75" header="0.3" footer="0.3"/>
  <x:drawing xmlns:r="http://schemas.openxmlformats.org/officeDocument/2006/relationships" r:id="R7880747aa16a4367"/>
</x:worksheet>
</file>